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dhy\Desktop\College\Projects\itus_data_udf\"/>
    </mc:Choice>
  </mc:AlternateContent>
  <xr:revisionPtr revIDLastSave="0" documentId="13_ncr:1_{6C164A82-D8B7-409F-995A-61A582B2E88E}" xr6:coauthVersionLast="47" xr6:coauthVersionMax="47" xr10:uidLastSave="{00000000-0000-0000-0000-000000000000}"/>
  <bookViews>
    <workbookView xWindow="5055" yWindow="2400" windowWidth="21600" windowHeight="11835" xr2:uid="{8C45A9AF-21CE-4BDA-9D74-387CCBBFFC52}"/>
  </bookViews>
  <sheets>
    <sheet name="UDF" sheetId="1" r:id="rId1"/>
    <sheet name="New UDF" sheetId="2" r:id="rId2"/>
  </sheets>
  <functionGroups builtInGroupCount="19">
    <functionGroup name="Finance UDFs"/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t_all_p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dail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daily_matri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mcap_matri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pe_for_sec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eri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est_ad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2" l="1" a="1"/>
  <c r="A1" i="2" a="1"/>
  <c r="G1" i="1" a="1"/>
  <c r="D1" i="1" a="1"/>
  <c r="B2" i="1"/>
  <c r="B3" i="1"/>
  <c r="M1" i="1" a="1"/>
  <c r="I1" i="2" l="1"/>
  <c r="L2" i="2"/>
  <c r="J1" i="2"/>
  <c r="H2" i="2"/>
  <c r="J2" i="2"/>
  <c r="K2" i="2"/>
  <c r="K1" i="2"/>
  <c r="L1" i="2"/>
  <c r="I2" i="2"/>
  <c r="H1" i="2"/>
  <c r="A1" i="2"/>
  <c r="D2" i="2"/>
  <c r="B1" i="2"/>
  <c r="E2" i="2"/>
  <c r="C1" i="2"/>
  <c r="D1" i="2"/>
  <c r="E1" i="2"/>
  <c r="A2" i="2"/>
  <c r="B2" i="2"/>
  <c r="C2" i="2"/>
  <c r="N20" i="1"/>
  <c r="N52" i="1"/>
  <c r="N84" i="1"/>
  <c r="M99" i="1"/>
  <c r="M32" i="1"/>
  <c r="M21" i="1"/>
  <c r="M53" i="1"/>
  <c r="M85" i="1"/>
  <c r="N17" i="1"/>
  <c r="N49" i="1"/>
  <c r="N85" i="1"/>
  <c r="M78" i="1"/>
  <c r="M27" i="1"/>
  <c r="N95" i="1"/>
  <c r="M46" i="1"/>
  <c r="M47" i="1"/>
  <c r="M40" i="1"/>
  <c r="M22" i="1"/>
  <c r="N74" i="1"/>
  <c r="N79" i="1"/>
  <c r="N14" i="1"/>
  <c r="N46" i="1"/>
  <c r="M23" i="1"/>
  <c r="N43" i="1"/>
  <c r="M96" i="1"/>
  <c r="N28" i="1"/>
  <c r="N92" i="1"/>
  <c r="N27" i="1"/>
  <c r="M29" i="1"/>
  <c r="M93" i="1"/>
  <c r="N57" i="1"/>
  <c r="M98" i="1"/>
  <c r="M48" i="1"/>
  <c r="M83" i="1"/>
  <c r="M34" i="1"/>
  <c r="M44" i="1"/>
  <c r="N54" i="1"/>
  <c r="N71" i="1"/>
  <c r="M50" i="1"/>
  <c r="N30" i="1"/>
  <c r="M24" i="1"/>
  <c r="N40" i="1"/>
  <c r="N83" i="1"/>
  <c r="M73" i="1"/>
  <c r="N37" i="1"/>
  <c r="N90" i="1"/>
  <c r="N63" i="1"/>
  <c r="N19" i="1"/>
  <c r="N82" i="1"/>
  <c r="M52" i="1"/>
  <c r="N12" i="1"/>
  <c r="M59" i="1"/>
  <c r="M45" i="1"/>
  <c r="N41" i="1"/>
  <c r="N39" i="1"/>
  <c r="N86" i="1"/>
  <c r="M74" i="1"/>
  <c r="N98" i="1"/>
  <c r="N16" i="1"/>
  <c r="M79" i="1"/>
  <c r="M49" i="1"/>
  <c r="N45" i="1"/>
  <c r="M19" i="1"/>
  <c r="N59" i="1"/>
  <c r="M20" i="1"/>
  <c r="N51" i="1"/>
  <c r="N10" i="1"/>
  <c r="N23" i="1"/>
  <c r="N24" i="1"/>
  <c r="N56" i="1"/>
  <c r="N88" i="1"/>
  <c r="N11" i="1"/>
  <c r="M60" i="1"/>
  <c r="M25" i="1"/>
  <c r="M57" i="1"/>
  <c r="M89" i="1"/>
  <c r="N21" i="1"/>
  <c r="N53" i="1"/>
  <c r="N89" i="1"/>
  <c r="M86" i="1"/>
  <c r="M39" i="1"/>
  <c r="M16" i="1"/>
  <c r="M58" i="1"/>
  <c r="M67" i="1"/>
  <c r="M64" i="1"/>
  <c r="M26" i="1"/>
  <c r="N94" i="1"/>
  <c r="M12" i="1"/>
  <c r="N18" i="1"/>
  <c r="N50" i="1"/>
  <c r="M35" i="1"/>
  <c r="N55" i="1"/>
  <c r="M4" i="1"/>
  <c r="N60" i="1"/>
  <c r="M88" i="1"/>
  <c r="M61" i="1"/>
  <c r="N25" i="1"/>
  <c r="N93" i="1"/>
  <c r="M51" i="1"/>
  <c r="M70" i="1"/>
  <c r="M76" i="1"/>
  <c r="M7" i="1"/>
  <c r="N22" i="1"/>
  <c r="M43" i="1"/>
  <c r="M28" i="1"/>
  <c r="M95" i="1"/>
  <c r="M75" i="1"/>
  <c r="N72" i="1"/>
  <c r="M9" i="1"/>
  <c r="N5" i="1"/>
  <c r="M38" i="1"/>
  <c r="N73" i="1"/>
  <c r="M6" i="1"/>
  <c r="N34" i="1"/>
  <c r="M84" i="1"/>
  <c r="N44" i="1"/>
  <c r="M13" i="1"/>
  <c r="N9" i="1"/>
  <c r="M54" i="1"/>
  <c r="N101" i="1"/>
  <c r="M10" i="1"/>
  <c r="N6" i="1"/>
  <c r="N15" i="1"/>
  <c r="N48" i="1"/>
  <c r="M8" i="1"/>
  <c r="M81" i="1"/>
  <c r="N81" i="1"/>
  <c r="M30" i="1"/>
  <c r="M14" i="1"/>
  <c r="N42" i="1"/>
  <c r="N75" i="1"/>
  <c r="N32" i="1"/>
  <c r="N64" i="1"/>
  <c r="N96" i="1"/>
  <c r="N47" i="1"/>
  <c r="M1" i="1"/>
  <c r="M33" i="1"/>
  <c r="M65" i="1"/>
  <c r="M97" i="1"/>
  <c r="N29" i="1"/>
  <c r="N61" i="1"/>
  <c r="N97" i="1"/>
  <c r="N66" i="1"/>
  <c r="M71" i="1"/>
  <c r="M72" i="1"/>
  <c r="M82" i="1"/>
  <c r="N3" i="1"/>
  <c r="M100" i="1"/>
  <c r="M42" i="1"/>
  <c r="M63" i="1"/>
  <c r="M68" i="1"/>
  <c r="N26" i="1"/>
  <c r="N58" i="1"/>
  <c r="M55" i="1"/>
  <c r="N87" i="1"/>
  <c r="M36" i="1"/>
  <c r="N4" i="1"/>
  <c r="N36" i="1"/>
  <c r="N68" i="1"/>
  <c r="N100" i="1"/>
  <c r="N67" i="1"/>
  <c r="M5" i="1"/>
  <c r="M37" i="1"/>
  <c r="M69" i="1"/>
  <c r="M101" i="1"/>
  <c r="N33" i="1"/>
  <c r="N65" i="1"/>
  <c r="M18" i="1"/>
  <c r="N78" i="1"/>
  <c r="M87" i="1"/>
  <c r="N1" i="1"/>
  <c r="M94" i="1"/>
  <c r="N31" i="1"/>
  <c r="M2" i="1"/>
  <c r="M92" i="1"/>
  <c r="N70" i="1"/>
  <c r="M56" i="1"/>
  <c r="N8" i="1"/>
  <c r="M31" i="1"/>
  <c r="M41" i="1"/>
  <c r="N69" i="1"/>
  <c r="N7" i="1"/>
  <c r="N62" i="1"/>
  <c r="M62" i="1"/>
  <c r="N2" i="1"/>
  <c r="M91" i="1"/>
  <c r="N76" i="1"/>
  <c r="N99" i="1"/>
  <c r="M77" i="1"/>
  <c r="N77" i="1"/>
  <c r="M3" i="1"/>
  <c r="N91" i="1"/>
  <c r="N35" i="1"/>
  <c r="N38" i="1"/>
  <c r="M80" i="1"/>
  <c r="N80" i="1"/>
  <c r="M17" i="1"/>
  <c r="N13" i="1"/>
  <c r="M66" i="1"/>
  <c r="M15" i="1"/>
  <c r="M90" i="1"/>
  <c r="M11" i="1"/>
  <c r="D1" i="1"/>
  <c r="E1" i="1"/>
  <c r="E6" i="1"/>
  <c r="D5" i="1"/>
  <c r="D2" i="1"/>
  <c r="E3" i="1"/>
  <c r="E2" i="1"/>
  <c r="E5" i="1"/>
  <c r="E4" i="1"/>
  <c r="D6" i="1"/>
  <c r="D4" i="1"/>
  <c r="D3" i="1"/>
  <c r="G1" i="1"/>
  <c r="H3" i="1"/>
  <c r="H1" i="1"/>
  <c r="H4" i="1"/>
  <c r="G2" i="1"/>
  <c r="J3" i="1"/>
  <c r="I2" i="1"/>
  <c r="J1" i="1"/>
  <c r="J2" i="1"/>
  <c r="K4" i="1"/>
  <c r="I1" i="1"/>
  <c r="K1" i="1"/>
  <c r="I4" i="1"/>
  <c r="J4" i="1"/>
  <c r="K3" i="1"/>
  <c r="K2" i="1"/>
  <c r="I3" i="1"/>
  <c r="G3" i="1"/>
  <c r="H2" i="1"/>
  <c r="G4" i="1"/>
</calcChain>
</file>

<file path=xl/sharedStrings.xml><?xml version="1.0" encoding="utf-8"?>
<sst xmlns="http://schemas.openxmlformats.org/spreadsheetml/2006/main" count="2" uniqueCount="2">
  <si>
    <t>Company Accord Code</t>
  </si>
  <si>
    <t>PE Value (Daily)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</si>
</sst>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06081-2335-4022-8353-1AB2EACFFD73}">
  <sheetPr codeName="Sheet1"/>
  <dimension ref="A1:N101"/>
  <sheetViews>
    <sheetView tabSelected="1" workbookViewId="0">
      <selection activeCell="D21" sqref="D21"/>
    </sheetView>
  </sheetViews>
  <sheetFormatPr defaultRowHeight="15" x14ac:dyDescent="0.25"/>
  <cols>
    <col min="1" max="1" width="21" bestFit="1" customWidth="1"/>
    <col min="2" max="2" width="15.140625" bestFit="1" customWidth="1"/>
    <col min="4" max="4" width="10.42578125" bestFit="1" customWidth="1"/>
    <col min="7" max="7" width="12" bestFit="1" customWidth="1"/>
    <col min="8" max="8" width="19" bestFit="1" customWidth="1"/>
    <col min="9" max="9" width="11.140625" bestFit="1" customWidth="1"/>
    <col min="10" max="10" width="14.42578125" bestFit="1" customWidth="1"/>
    <col min="11" max="11" width="6" bestFit="1" customWidth="1"/>
    <col min="13" max="13" width="10.42578125" bestFit="1" customWidth="1"/>
  </cols>
  <sheetData>
    <row r="1" spans="1:14" x14ac:dyDescent="0.25">
      <c r="A1" t="s">
        <v>0</v>
      </c>
      <c r="B1" t="s">
        <v>1</v>
      </c>
      <c r="D1" t="str">
        <f t="array" ref="D1:E6">get_series(A2, "pe", "2021-10-01", "2021-10-05")</f>
        <v>date</v>
      </c>
      <c r="E1" t="str">
        <v>pe</v>
      </c>
      <c r="G1" t="str">
        <f t="array" ref="G1:K4">get_daily_matrix("2021-10-01", "pe")</f>
        <v>accord_code</v>
      </c>
      <c r="H1" t="str">
        <v>company_name</v>
      </c>
      <c r="I1" t="str">
        <v>sector</v>
      </c>
      <c r="J1" t="str">
        <v>mcap_category</v>
      </c>
      <c r="K1" t="str">
        <v>pe</v>
      </c>
      <c r="M1" t="str">
        <f t="array" ref="M1:N101">get_all_pe(A2, "pe")</f>
        <v>date</v>
      </c>
      <c r="N1" t="str">
        <v>pe</v>
      </c>
    </row>
    <row r="2" spans="1:14" x14ac:dyDescent="0.25">
      <c r="A2">
        <v>100186</v>
      </c>
      <c r="B2">
        <f>get_daily_data(A2, "pe", "2021-10-01")</f>
        <v>11.55</v>
      </c>
      <c r="D2" t="str">
        <v>2021-10-01</v>
      </c>
      <c r="E2">
        <v>11.55</v>
      </c>
      <c r="G2">
        <v>100186</v>
      </c>
      <c r="H2" t="str">
        <v>Tech Innovators Inc.</v>
      </c>
      <c r="I2" t="str">
        <v>Technology</v>
      </c>
      <c r="J2" t="str">
        <v>Large Cap</v>
      </c>
      <c r="K2">
        <v>11.55</v>
      </c>
      <c r="M2" t="str">
        <v>2021-10-01</v>
      </c>
      <c r="N2">
        <v>11.55</v>
      </c>
    </row>
    <row r="3" spans="1:14" x14ac:dyDescent="0.25">
      <c r="B3">
        <f>get_daily_data(A2, "pe", "2021-10-10")</f>
        <v>11.52</v>
      </c>
      <c r="D3" t="str">
        <v>2021-10-02</v>
      </c>
      <c r="E3">
        <v>11.31</v>
      </c>
      <c r="G3">
        <v>100200</v>
      </c>
      <c r="H3" t="str">
        <v>Global Energy Corp</v>
      </c>
      <c r="I3" t="str">
        <v>Energy</v>
      </c>
      <c r="J3" t="str">
        <v>Mid Cap</v>
      </c>
      <c r="K3">
        <v>21.06</v>
      </c>
      <c r="M3" t="str">
        <v>2021-10-02</v>
      </c>
      <c r="N3">
        <v>11.31</v>
      </c>
    </row>
    <row r="4" spans="1:14" x14ac:dyDescent="0.25">
      <c r="D4" t="str">
        <v>2021-10-03</v>
      </c>
      <c r="E4">
        <v>10.63</v>
      </c>
      <c r="G4">
        <v>100350</v>
      </c>
      <c r="H4" t="str">
        <v>Retail Dynamics Ltd.</v>
      </c>
      <c r="I4" t="str">
        <v>Consumer</v>
      </c>
      <c r="J4" t="str">
        <v>Small Cap</v>
      </c>
      <c r="K4">
        <v>13.75</v>
      </c>
      <c r="M4" t="str">
        <v>2021-10-03</v>
      </c>
      <c r="N4">
        <v>10.63</v>
      </c>
    </row>
    <row r="5" spans="1:14" x14ac:dyDescent="0.25">
      <c r="D5" t="str">
        <v>2021-10-04</v>
      </c>
      <c r="E5">
        <v>11.31</v>
      </c>
      <c r="M5" t="str">
        <v>2021-10-04</v>
      </c>
      <c r="N5">
        <v>11.31</v>
      </c>
    </row>
    <row r="6" spans="1:14" x14ac:dyDescent="0.25">
      <c r="D6" t="str">
        <v>2021-10-05</v>
      </c>
      <c r="E6">
        <v>10.89</v>
      </c>
      <c r="M6" t="str">
        <v>2021-10-05</v>
      </c>
      <c r="N6">
        <v>10.89</v>
      </c>
    </row>
    <row r="7" spans="1:14" x14ac:dyDescent="0.25">
      <c r="M7" t="str">
        <v>2021-10-06</v>
      </c>
      <c r="N7">
        <v>11.06</v>
      </c>
    </row>
    <row r="8" spans="1:14" x14ac:dyDescent="0.25">
      <c r="M8" t="str">
        <v>2021-10-07</v>
      </c>
      <c r="N8">
        <v>10.57</v>
      </c>
    </row>
    <row r="9" spans="1:14" x14ac:dyDescent="0.25">
      <c r="M9" t="str">
        <v>2021-10-08</v>
      </c>
      <c r="N9">
        <v>11.52</v>
      </c>
    </row>
    <row r="10" spans="1:14" x14ac:dyDescent="0.25">
      <c r="M10" t="str">
        <v>2021-10-09</v>
      </c>
      <c r="N10">
        <v>11.52</v>
      </c>
    </row>
    <row r="11" spans="1:14" x14ac:dyDescent="0.25">
      <c r="M11" t="str">
        <v>2021-10-10</v>
      </c>
      <c r="N11">
        <v>11.52</v>
      </c>
    </row>
    <row r="12" spans="1:14" x14ac:dyDescent="0.25">
      <c r="M12" t="str">
        <v>2021-10-11</v>
      </c>
      <c r="N12">
        <v>10.91</v>
      </c>
    </row>
    <row r="13" spans="1:14" x14ac:dyDescent="0.25">
      <c r="M13" t="str">
        <v>2021-10-12</v>
      </c>
      <c r="N13">
        <v>11.31</v>
      </c>
    </row>
    <row r="14" spans="1:14" x14ac:dyDescent="0.25">
      <c r="M14" t="str">
        <v>2021-10-13</v>
      </c>
      <c r="N14">
        <v>11.27</v>
      </c>
    </row>
    <row r="15" spans="1:14" x14ac:dyDescent="0.25">
      <c r="M15" t="str">
        <v>2021-10-14</v>
      </c>
      <c r="N15">
        <v>11.06</v>
      </c>
    </row>
    <row r="16" spans="1:14" x14ac:dyDescent="0.25">
      <c r="M16" t="str">
        <v>2021-10-15</v>
      </c>
      <c r="N16">
        <v>11.52</v>
      </c>
    </row>
    <row r="17" spans="13:14" x14ac:dyDescent="0.25">
      <c r="M17" t="str">
        <v>2021-10-16</v>
      </c>
      <c r="N17">
        <v>10.88</v>
      </c>
    </row>
    <row r="18" spans="13:14" x14ac:dyDescent="0.25">
      <c r="M18" t="str">
        <v>2021-10-17</v>
      </c>
      <c r="N18">
        <v>11.1</v>
      </c>
    </row>
    <row r="19" spans="13:14" x14ac:dyDescent="0.25">
      <c r="M19" t="str">
        <v>2021-10-18</v>
      </c>
      <c r="N19">
        <v>11.47</v>
      </c>
    </row>
    <row r="20" spans="13:14" x14ac:dyDescent="0.25">
      <c r="M20" t="str">
        <v>2021-10-19</v>
      </c>
      <c r="N20">
        <v>11.27</v>
      </c>
    </row>
    <row r="21" spans="13:14" x14ac:dyDescent="0.25">
      <c r="M21" t="str">
        <v>2021-10-20</v>
      </c>
      <c r="N21">
        <v>10.88</v>
      </c>
    </row>
    <row r="22" spans="13:14" x14ac:dyDescent="0.25">
      <c r="M22" t="str">
        <v>2021-10-21</v>
      </c>
      <c r="N22">
        <v>11.33</v>
      </c>
    </row>
    <row r="23" spans="13:14" x14ac:dyDescent="0.25">
      <c r="M23" t="str">
        <v>2021-10-22</v>
      </c>
      <c r="N23">
        <v>10.87</v>
      </c>
    </row>
    <row r="24" spans="13:14" x14ac:dyDescent="0.25">
      <c r="M24" t="str">
        <v>2021-10-23</v>
      </c>
      <c r="N24">
        <v>11.34</v>
      </c>
    </row>
    <row r="25" spans="13:14" x14ac:dyDescent="0.25">
      <c r="M25" t="str">
        <v>2021-10-24</v>
      </c>
      <c r="N25">
        <v>11.22</v>
      </c>
    </row>
    <row r="26" spans="13:14" x14ac:dyDescent="0.25">
      <c r="M26" t="str">
        <v>2021-10-25</v>
      </c>
      <c r="N26">
        <v>11.43</v>
      </c>
    </row>
    <row r="27" spans="13:14" x14ac:dyDescent="0.25">
      <c r="M27" t="str">
        <v>2021-10-26</v>
      </c>
      <c r="N27">
        <v>11.54</v>
      </c>
    </row>
    <row r="28" spans="13:14" x14ac:dyDescent="0.25">
      <c r="M28" t="str">
        <v>2021-10-27</v>
      </c>
      <c r="N28">
        <v>10.92</v>
      </c>
    </row>
    <row r="29" spans="13:14" x14ac:dyDescent="0.25">
      <c r="M29" t="str">
        <v>2021-10-28</v>
      </c>
      <c r="N29">
        <v>11.14</v>
      </c>
    </row>
    <row r="30" spans="13:14" x14ac:dyDescent="0.25">
      <c r="M30" t="str">
        <v>2021-10-29</v>
      </c>
      <c r="N30">
        <v>11.07</v>
      </c>
    </row>
    <row r="31" spans="13:14" x14ac:dyDescent="0.25">
      <c r="M31" t="str">
        <v>2021-10-30</v>
      </c>
      <c r="N31">
        <v>11.06</v>
      </c>
    </row>
    <row r="32" spans="13:14" x14ac:dyDescent="0.25">
      <c r="M32" t="str">
        <v>2021-10-31</v>
      </c>
      <c r="N32">
        <v>11.43</v>
      </c>
    </row>
    <row r="33" spans="13:14" x14ac:dyDescent="0.25">
      <c r="M33" t="str">
        <v>2021-11-01</v>
      </c>
      <c r="N33">
        <v>11.12</v>
      </c>
    </row>
    <row r="34" spans="13:14" x14ac:dyDescent="0.25">
      <c r="M34" t="str">
        <v>2021-11-02</v>
      </c>
      <c r="N34">
        <v>10.71</v>
      </c>
    </row>
    <row r="35" spans="13:14" x14ac:dyDescent="0.25">
      <c r="M35" t="str">
        <v>2021-11-03</v>
      </c>
      <c r="N35">
        <v>11.25</v>
      </c>
    </row>
    <row r="36" spans="13:14" x14ac:dyDescent="0.25">
      <c r="M36" t="str">
        <v>2021-11-04</v>
      </c>
      <c r="N36">
        <v>10.64</v>
      </c>
    </row>
    <row r="37" spans="13:14" x14ac:dyDescent="0.25">
      <c r="M37" t="str">
        <v>2021-11-05</v>
      </c>
      <c r="N37">
        <v>10.65</v>
      </c>
    </row>
    <row r="38" spans="13:14" x14ac:dyDescent="0.25">
      <c r="M38" t="str">
        <v>2021-11-06</v>
      </c>
      <c r="N38">
        <v>10.57</v>
      </c>
    </row>
    <row r="39" spans="13:14" x14ac:dyDescent="0.25">
      <c r="M39" t="str">
        <v>2021-11-07</v>
      </c>
      <c r="N39">
        <v>10.79</v>
      </c>
    </row>
    <row r="40" spans="13:14" x14ac:dyDescent="0.25">
      <c r="M40" t="str">
        <v>2021-11-08</v>
      </c>
      <c r="N40">
        <v>10.81</v>
      </c>
    </row>
    <row r="41" spans="13:14" x14ac:dyDescent="0.25">
      <c r="M41" t="str">
        <v>2021-11-09</v>
      </c>
      <c r="N41">
        <v>11.52</v>
      </c>
    </row>
    <row r="42" spans="13:14" x14ac:dyDescent="0.25">
      <c r="M42" t="str">
        <v>2021-11-10</v>
      </c>
      <c r="N42">
        <v>11.48</v>
      </c>
    </row>
    <row r="43" spans="13:14" x14ac:dyDescent="0.25">
      <c r="M43" t="str">
        <v>2021-11-11</v>
      </c>
      <c r="N43">
        <v>11.47</v>
      </c>
    </row>
    <row r="44" spans="13:14" x14ac:dyDescent="0.25">
      <c r="M44" t="str">
        <v>2021-11-12</v>
      </c>
      <c r="N44">
        <v>10.99</v>
      </c>
    </row>
    <row r="45" spans="13:14" x14ac:dyDescent="0.25">
      <c r="M45" t="str">
        <v>2021-11-13</v>
      </c>
      <c r="N45">
        <v>11.47</v>
      </c>
    </row>
    <row r="46" spans="13:14" x14ac:dyDescent="0.25">
      <c r="M46" t="str">
        <v>2021-11-14</v>
      </c>
      <c r="N46">
        <v>10.86</v>
      </c>
    </row>
    <row r="47" spans="13:14" x14ac:dyDescent="0.25">
      <c r="M47" t="str">
        <v>2021-11-15</v>
      </c>
      <c r="N47">
        <v>10.91</v>
      </c>
    </row>
    <row r="48" spans="13:14" x14ac:dyDescent="0.25">
      <c r="M48" t="str">
        <v>2021-11-16</v>
      </c>
      <c r="N48">
        <v>11.15</v>
      </c>
    </row>
    <row r="49" spans="13:14" x14ac:dyDescent="0.25">
      <c r="M49" t="str">
        <v>2021-11-17</v>
      </c>
      <c r="N49">
        <v>11.26</v>
      </c>
    </row>
    <row r="50" spans="13:14" x14ac:dyDescent="0.25">
      <c r="M50" t="str">
        <v>2021-11-18</v>
      </c>
      <c r="N50">
        <v>10.9</v>
      </c>
    </row>
    <row r="51" spans="13:14" x14ac:dyDescent="0.25">
      <c r="M51" t="str">
        <v>2021-11-19</v>
      </c>
      <c r="N51">
        <v>10.81</v>
      </c>
    </row>
    <row r="52" spans="13:14" x14ac:dyDescent="0.25">
      <c r="M52" t="str">
        <v>2021-11-20</v>
      </c>
      <c r="N52">
        <v>10.71</v>
      </c>
    </row>
    <row r="53" spans="13:14" x14ac:dyDescent="0.25">
      <c r="M53" t="str">
        <v>2021-11-21</v>
      </c>
      <c r="N53">
        <v>11.47</v>
      </c>
    </row>
    <row r="54" spans="13:14" x14ac:dyDescent="0.25">
      <c r="M54" t="str">
        <v>2021-11-22</v>
      </c>
      <c r="N54">
        <v>11.52</v>
      </c>
    </row>
    <row r="55" spans="13:14" x14ac:dyDescent="0.25">
      <c r="M55" t="str">
        <v>2021-11-23</v>
      </c>
      <c r="N55">
        <v>10.67</v>
      </c>
    </row>
    <row r="56" spans="13:14" x14ac:dyDescent="0.25">
      <c r="M56" t="str">
        <v>2021-11-24</v>
      </c>
      <c r="N56">
        <v>11.06</v>
      </c>
    </row>
    <row r="57" spans="13:14" x14ac:dyDescent="0.25">
      <c r="M57" t="str">
        <v>2021-11-25</v>
      </c>
      <c r="N57">
        <v>11.44</v>
      </c>
    </row>
    <row r="58" spans="13:14" x14ac:dyDescent="0.25">
      <c r="M58" t="str">
        <v>2021-11-26</v>
      </c>
      <c r="N58">
        <v>11.16</v>
      </c>
    </row>
    <row r="59" spans="13:14" x14ac:dyDescent="0.25">
      <c r="M59" t="str">
        <v>2021-11-27</v>
      </c>
      <c r="N59">
        <v>10.83</v>
      </c>
    </row>
    <row r="60" spans="13:14" x14ac:dyDescent="0.25">
      <c r="M60" t="str">
        <v>2021-11-28</v>
      </c>
      <c r="N60">
        <v>11.49</v>
      </c>
    </row>
    <row r="61" spans="13:14" x14ac:dyDescent="0.25">
      <c r="M61" t="str">
        <v>2021-11-29</v>
      </c>
      <c r="N61">
        <v>11.13</v>
      </c>
    </row>
    <row r="62" spans="13:14" x14ac:dyDescent="0.25">
      <c r="M62" t="str">
        <v>2021-11-30</v>
      </c>
      <c r="N62">
        <v>10.67</v>
      </c>
    </row>
    <row r="63" spans="13:14" x14ac:dyDescent="0.25">
      <c r="M63" t="str">
        <v>2021-12-01</v>
      </c>
      <c r="N63">
        <v>11</v>
      </c>
    </row>
    <row r="64" spans="13:14" x14ac:dyDescent="0.25">
      <c r="M64" t="str">
        <v>2021-12-02</v>
      </c>
      <c r="N64">
        <v>10.98</v>
      </c>
    </row>
    <row r="65" spans="13:14" x14ac:dyDescent="0.25">
      <c r="M65" t="str">
        <v>2021-12-03</v>
      </c>
      <c r="N65">
        <v>11.17</v>
      </c>
    </row>
    <row r="66" spans="13:14" x14ac:dyDescent="0.25">
      <c r="M66" t="str">
        <v>2021-12-04</v>
      </c>
      <c r="N66">
        <v>10.84</v>
      </c>
    </row>
    <row r="67" spans="13:14" x14ac:dyDescent="0.25">
      <c r="M67" t="str">
        <v>2021-12-05</v>
      </c>
      <c r="N67">
        <v>11.35</v>
      </c>
    </row>
    <row r="68" spans="13:14" x14ac:dyDescent="0.25">
      <c r="M68" t="str">
        <v>2021-12-06</v>
      </c>
      <c r="N68">
        <v>10.72</v>
      </c>
    </row>
    <row r="69" spans="13:14" x14ac:dyDescent="0.25">
      <c r="M69" t="str">
        <v>2021-12-07</v>
      </c>
      <c r="N69">
        <v>11.44</v>
      </c>
    </row>
    <row r="70" spans="13:14" x14ac:dyDescent="0.25">
      <c r="M70" t="str">
        <v>2021-12-08</v>
      </c>
      <c r="N70">
        <v>11.28</v>
      </c>
    </row>
    <row r="71" spans="13:14" x14ac:dyDescent="0.25">
      <c r="M71" t="str">
        <v>2021-12-09</v>
      </c>
      <c r="N71">
        <v>11.48</v>
      </c>
    </row>
    <row r="72" spans="13:14" x14ac:dyDescent="0.25">
      <c r="M72" t="str">
        <v>2021-12-10</v>
      </c>
      <c r="N72">
        <v>11.09</v>
      </c>
    </row>
    <row r="73" spans="13:14" x14ac:dyDescent="0.25">
      <c r="M73" t="str">
        <v>2021-12-11</v>
      </c>
      <c r="N73">
        <v>11.02</v>
      </c>
    </row>
    <row r="74" spans="13:14" x14ac:dyDescent="0.25">
      <c r="M74" t="str">
        <v>2021-12-12</v>
      </c>
      <c r="N74">
        <v>11.03</v>
      </c>
    </row>
    <row r="75" spans="13:14" x14ac:dyDescent="0.25">
      <c r="M75" t="str">
        <v>2021-12-13</v>
      </c>
      <c r="N75">
        <v>11.35</v>
      </c>
    </row>
    <row r="76" spans="13:14" x14ac:dyDescent="0.25">
      <c r="M76" t="str">
        <v>2021-12-14</v>
      </c>
      <c r="N76">
        <v>10.97</v>
      </c>
    </row>
    <row r="77" spans="13:14" x14ac:dyDescent="0.25">
      <c r="M77" t="str">
        <v>2021-12-15</v>
      </c>
      <c r="N77">
        <v>10.86</v>
      </c>
    </row>
    <row r="78" spans="13:14" x14ac:dyDescent="0.25">
      <c r="M78" t="str">
        <v>2021-12-16</v>
      </c>
      <c r="N78">
        <v>11.25</v>
      </c>
    </row>
    <row r="79" spans="13:14" x14ac:dyDescent="0.25">
      <c r="M79" t="str">
        <v>2021-12-17</v>
      </c>
      <c r="N79">
        <v>11.09</v>
      </c>
    </row>
    <row r="80" spans="13:14" x14ac:dyDescent="0.25">
      <c r="M80" t="str">
        <v>2021-12-18</v>
      </c>
      <c r="N80">
        <v>11.06</v>
      </c>
    </row>
    <row r="81" spans="13:14" x14ac:dyDescent="0.25">
      <c r="M81" t="str">
        <v>2021-12-19</v>
      </c>
      <c r="N81">
        <v>11.25</v>
      </c>
    </row>
    <row r="82" spans="13:14" x14ac:dyDescent="0.25">
      <c r="M82" t="str">
        <v>2021-12-20</v>
      </c>
      <c r="N82">
        <v>11.01</v>
      </c>
    </row>
    <row r="83" spans="13:14" x14ac:dyDescent="0.25">
      <c r="M83" t="str">
        <v>2021-12-21</v>
      </c>
      <c r="N83">
        <v>10.99</v>
      </c>
    </row>
    <row r="84" spans="13:14" x14ac:dyDescent="0.25">
      <c r="M84" t="str">
        <v>2021-12-22</v>
      </c>
      <c r="N84">
        <v>10.83</v>
      </c>
    </row>
    <row r="85" spans="13:14" x14ac:dyDescent="0.25">
      <c r="M85" t="str">
        <v>2021-12-23</v>
      </c>
      <c r="N85">
        <v>10.6</v>
      </c>
    </row>
    <row r="86" spans="13:14" x14ac:dyDescent="0.25">
      <c r="M86" t="str">
        <v>2021-12-24</v>
      </c>
      <c r="N86">
        <v>10.87</v>
      </c>
    </row>
    <row r="87" spans="13:14" x14ac:dyDescent="0.25">
      <c r="M87" t="str">
        <v>2021-12-25</v>
      </c>
      <c r="N87">
        <v>10.76</v>
      </c>
    </row>
    <row r="88" spans="13:14" x14ac:dyDescent="0.25">
      <c r="M88" t="str">
        <v>2021-12-26</v>
      </c>
      <c r="N88">
        <v>10.83</v>
      </c>
    </row>
    <row r="89" spans="13:14" x14ac:dyDescent="0.25">
      <c r="M89" t="str">
        <v>2021-12-27</v>
      </c>
      <c r="N89">
        <v>10.98</v>
      </c>
    </row>
    <row r="90" spans="13:14" x14ac:dyDescent="0.25">
      <c r="M90" t="str">
        <v>2021-12-28</v>
      </c>
      <c r="N90">
        <v>11.41</v>
      </c>
    </row>
    <row r="91" spans="13:14" x14ac:dyDescent="0.25">
      <c r="M91" t="str">
        <v>2021-12-29</v>
      </c>
      <c r="N91">
        <v>10.94</v>
      </c>
    </row>
    <row r="92" spans="13:14" x14ac:dyDescent="0.25">
      <c r="M92" t="str">
        <v>2021-12-30</v>
      </c>
      <c r="N92">
        <v>11.13</v>
      </c>
    </row>
    <row r="93" spans="13:14" x14ac:dyDescent="0.25">
      <c r="M93" t="str">
        <v>2021-12-31</v>
      </c>
      <c r="N93">
        <v>11.22</v>
      </c>
    </row>
    <row r="94" spans="13:14" x14ac:dyDescent="0.25">
      <c r="M94" t="str">
        <v>2022-01-01</v>
      </c>
      <c r="N94">
        <v>11.44</v>
      </c>
    </row>
    <row r="95" spans="13:14" x14ac:dyDescent="0.25">
      <c r="M95" t="str">
        <v>2022-01-02</v>
      </c>
      <c r="N95">
        <v>10.62</v>
      </c>
    </row>
    <row r="96" spans="13:14" x14ac:dyDescent="0.25">
      <c r="M96" t="str">
        <v>2022-01-03</v>
      </c>
      <c r="N96">
        <v>11</v>
      </c>
    </row>
    <row r="97" spans="13:14" x14ac:dyDescent="0.25">
      <c r="M97" t="str">
        <v>2022-01-04</v>
      </c>
      <c r="N97">
        <v>11</v>
      </c>
    </row>
    <row r="98" spans="13:14" x14ac:dyDescent="0.25">
      <c r="M98" t="str">
        <v>2022-01-05</v>
      </c>
      <c r="N98">
        <v>10.83</v>
      </c>
    </row>
    <row r="99" spans="13:14" x14ac:dyDescent="0.25">
      <c r="M99" t="str">
        <v>2022-01-06</v>
      </c>
      <c r="N99">
        <v>11.27</v>
      </c>
    </row>
    <row r="100" spans="13:14" x14ac:dyDescent="0.25">
      <c r="M100" t="str">
        <v>2022-01-07</v>
      </c>
      <c r="N100">
        <v>10.81</v>
      </c>
    </row>
    <row r="101" spans="13:14" x14ac:dyDescent="0.25">
      <c r="M101" t="str">
        <v>2022-01-08</v>
      </c>
      <c r="N101">
        <v>11.23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E957-DAFA-4373-9175-E70EE4DE75F9}">
  <dimension ref="A1:L2"/>
  <sheetViews>
    <sheetView workbookViewId="0">
      <selection activeCell="I12" sqref="I12"/>
    </sheetView>
  </sheetViews>
  <sheetFormatPr defaultRowHeight="15" x14ac:dyDescent="0.25"/>
  <cols>
    <col min="1" max="1" width="12" bestFit="1" customWidth="1"/>
    <col min="2" max="2" width="18.85546875" bestFit="1" customWidth="1"/>
    <col min="3" max="3" width="11.140625" bestFit="1" customWidth="1"/>
    <col min="4" max="4" width="6" bestFit="1" customWidth="1"/>
    <col min="5" max="5" width="10.42578125" bestFit="1" customWidth="1"/>
    <col min="8" max="8" width="12" bestFit="1" customWidth="1"/>
    <col min="9" max="9" width="18.85546875" bestFit="1" customWidth="1"/>
    <col min="10" max="10" width="14.42578125" bestFit="1" customWidth="1"/>
    <col min="11" max="11" width="6" bestFit="1" customWidth="1"/>
    <col min="12" max="12" width="10.42578125" bestFit="1" customWidth="1"/>
  </cols>
  <sheetData>
    <row r="1" spans="1:12" x14ac:dyDescent="0.25">
      <c r="A1" t="str">
        <f t="array" ref="A1:E2">get_mcap_matrix("Large Cap", "2021-10-01")</f>
        <v>accord_code</v>
      </c>
      <c r="B1" t="str">
        <v>company_name</v>
      </c>
      <c r="C1" t="str">
        <v>sector</v>
      </c>
      <c r="D1" t="str">
        <v>pe</v>
      </c>
      <c r="E1" t="str">
        <v>date</v>
      </c>
      <c r="H1" t="str">
        <f t="array" ref="H1:L2">get_pe_for_sector("Technology", "2021-10-01")</f>
        <v>accord_code</v>
      </c>
      <c r="I1" t="str">
        <v>company_name</v>
      </c>
      <c r="J1" t="str">
        <v>mcap_category</v>
      </c>
      <c r="K1" t="str">
        <v>pe</v>
      </c>
      <c r="L1" t="str">
        <v>date</v>
      </c>
    </row>
    <row r="2" spans="1:12" x14ac:dyDescent="0.25">
      <c r="A2">
        <v>100186</v>
      </c>
      <c r="B2" t="str">
        <v>Tech Innovators Inc.</v>
      </c>
      <c r="C2" t="str">
        <v>Technology</v>
      </c>
      <c r="D2">
        <v>11.55</v>
      </c>
      <c r="E2" t="str">
        <v>2021-10-01</v>
      </c>
      <c r="H2">
        <v>100186</v>
      </c>
      <c r="I2" t="str">
        <v>Tech Innovators Inc.</v>
      </c>
      <c r="J2" t="str">
        <v>Large Cap</v>
      </c>
      <c r="K2">
        <v>11.55</v>
      </c>
      <c r="L2" t="str">
        <v>2021-10-01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UDF</vt:lpstr>
      <vt:lpstr>New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Vidhyam Mehta</dc:creator>
  <cp:lastModifiedBy>Vidhyam Mehta</cp:lastModifiedBy>
  <dcterms:created xsi:type="dcterms:W3CDTF">2025-11-15T17:50:51Z</dcterms:created>
  <dcterms:modified xsi:type="dcterms:W3CDTF">2025-11-15T19:53:55Z</dcterms:modified>
</cp:coreProperties>
</file>